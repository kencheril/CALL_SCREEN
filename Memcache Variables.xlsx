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<sst xmlns="http://schemas.openxmlformats.org/spreadsheetml/2006/main" count="155" uniqueCount="83">
  <si>
    <t>Variable Name</t>
  </si>
  <si>
    <t>Data Type</t>
  </si>
  <si>
    <t>Description</t>
  </si>
  <si>
    <t>Expected Length</t>
  </si>
  <si>
    <t>Required Byte</t>
  </si>
  <si>
    <t>IsSHA256Hash</t>
  </si>
  <si>
    <t>Hash Required Byte</t>
  </si>
  <si>
    <t>PortID</t>
  </si>
  <si>
    <t>String</t>
  </si>
  <si>
    <t xml:space="preserve"> เก็บข้อมูล Port ID</t>
  </si>
  <si>
    <t>N</t>
  </si>
  <si>
    <t>CustID</t>
  </si>
  <si>
    <t xml:space="preserve"> เก็บข้อมูล Customer ID</t>
  </si>
  <si>
    <t>CustNo</t>
  </si>
  <si>
    <t xml:space="preserve"> เก็บข้อมูล Customer Number</t>
  </si>
  <si>
    <t>UserName</t>
  </si>
  <si>
    <t>เก็บชื่อผู้ใช้</t>
  </si>
  <si>
    <t>Y</t>
  </si>
  <si>
    <t>Password</t>
  </si>
  <si>
    <t>เก็บรหัสผ่านผู้ใช้</t>
  </si>
  <si>
    <t>PortalID</t>
  </si>
  <si>
    <t>ใช้เก็บข้อมูล Portal ID ตอน Login Auto Dial</t>
  </si>
  <si>
    <t>Contract</t>
  </si>
  <si>
    <t xml:space="preserve"> เก็บข้อมูล Contract Number</t>
  </si>
  <si>
    <t>UpdateData</t>
  </si>
  <si>
    <t>เก็บ Flag เอาไว้ดัก state ไม่ให้เข้าหน้า Add Note ถ้ายังไม่อัพเดทข้อมูล</t>
  </si>
  <si>
    <t>Mode</t>
  </si>
  <si>
    <t>เก็บค่า Phone Mode (AutoDial/Soft Phone)</t>
  </si>
  <si>
    <t>Biz</t>
  </si>
  <si>
    <t>เก็บค่า Biz ของลูกค้าว่า Type ไหน (RL/IL)</t>
  </si>
  <si>
    <t>TelType</t>
  </si>
  <si>
    <t>เก็บข้อมูลโทรศัพท์ประเภทไหน (Home/Mobile/Office)</t>
  </si>
  <si>
    <t>TelLastCall</t>
  </si>
  <si>
    <t>เก็บเวลาการโทรล่าสุด (9:32)</t>
  </si>
  <si>
    <t>TelNo</t>
  </si>
  <si>
    <t>เก็บข้อมูลหมายเลขโทรศัพท์</t>
  </si>
  <si>
    <t>TelSeq</t>
  </si>
  <si>
    <t xml:space="preserve">เก็บข้อมูล Sequence Type </t>
  </si>
  <si>
    <t>TelName</t>
  </si>
  <si>
    <t>เก็บข้อมูลชื่อลูกค้าที่โทรออก</t>
  </si>
  <si>
    <t>ADResult</t>
  </si>
  <si>
    <t xml:space="preserve">เก็บข้อมูลผล Result Code ที่ได้จาก AutoDial </t>
  </si>
  <si>
    <t>ADPerson</t>
  </si>
  <si>
    <t>เก็บข้อมูล Person Code ที่ได้จาก AutoDial (เป็นประเภทว่า ลูกค้ารับสายโดยตรง/หรือพ่อแม่มารับ/ญาติ)</t>
  </si>
  <si>
    <t>ADAction</t>
  </si>
  <si>
    <t>เก็บข้อมูลว่าทำอะไร Action ที่ได้จาก AutoDial (โทรไปขายของ/โทรแจ้งปัญหา)</t>
  </si>
  <si>
    <t>ADNote</t>
  </si>
  <si>
    <t>เก็บข้อมูลบันทึกเรื่องที่คุยกับลูกค้า ที่ได้จาก AutoDial</t>
  </si>
  <si>
    <t>ADState</t>
  </si>
  <si>
    <t>เก็บข้อมูล Status Code (Ready/Active/Dialling) ที่ได้จาก AutoDial</t>
  </si>
  <si>
    <t>ADCallback</t>
  </si>
  <si>
    <t>เก็บ Flag ว่าเราโทรกลับหาลูกค้าอีกครั้ง ที่ได้จาก AutoDial (Y/N)</t>
  </si>
  <si>
    <t>Manager</t>
  </si>
  <si>
    <t>เก็บ  Level ของ Manager (1/2/3)</t>
  </si>
  <si>
    <t>SaveNextCall</t>
  </si>
  <si>
    <t>เก็บ Flag ว่า Save หลังจากกด Next Call สำเร็จแล้ว (Y/N)</t>
  </si>
  <si>
    <t>ShowSpecialNote</t>
  </si>
  <si>
    <t>เก็บ Flag ว่าจะ Show Special Note ไหม (Y/N)</t>
  </si>
  <si>
    <t>TelList</t>
  </si>
  <si>
    <t>เก็บ Flag ว่าอยู่ใน Tab List Telephone (Y/N)</t>
  </si>
  <si>
    <t>EmpID</t>
  </si>
  <si>
    <t>เก็บรหัสพนักงาน</t>
  </si>
  <si>
    <t>ShowPort</t>
  </si>
  <si>
    <t>เก็บ Flag ว่าจะโชว์หรือไม่โชว์ Port (Y/N)</t>
  </si>
  <si>
    <t>AuthenCopy</t>
  </si>
  <si>
    <t>เก็บ Flag การดักการป้องกันการ Copy ข้อมูลบนหน้าจอ (Y/N)</t>
  </si>
  <si>
    <t>SwapFlag</t>
  </si>
  <si>
    <t>เก็บ Flag ในการ Swap Flag ในหน้า Home (Y/N)</t>
  </si>
  <si>
    <t>LocalClient</t>
  </si>
  <si>
    <t>เก็บค่าชื่อเครื่อง Host  ({SERVER})</t>
  </si>
  <si>
    <t>RolesID</t>
  </si>
  <si>
    <t>เก็บ Role ID</t>
  </si>
  <si>
    <t>IsAdmin</t>
  </si>
  <si>
    <t>เก็บ Flag ว่าสิทธิ์เป็น Admin หรือไม่ (Y/N)</t>
  </si>
  <si>
    <t>IsAuthenMode</t>
  </si>
  <si>
    <t>Autodial_Usage</t>
  </si>
  <si>
    <t>เก็บ Flag ว่าเป็น Mode Auto Dial หรือไม่ (Y/N)</t>
  </si>
  <si>
    <t>Softphone_Usage</t>
  </si>
  <si>
    <t>เก็บ Flag ว่าเป็น Mode Soft Phone หรือไม่ (Y/N)</t>
  </si>
  <si>
    <t>CallIn_Flag</t>
  </si>
  <si>
    <t>เก็บ Flag ว่าเป็น Mode Call In หรือไม่ (Y/N)</t>
  </si>
  <si>
    <t>Autodial_Ext</t>
  </si>
  <si>
    <t>เก็บค่า Extension ของ AutoDial (Station)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</si>
</sst>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</font>
    <font>
      <color theme="1"/>
      <name val="Arial"/>
    </font>
    <font/>
    <font>
      <color rgb="FF000000"/>
    </font>
    <font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1" fillId="2" fontId="2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right" readingOrder="0"/>
    </xf>
    <xf borderId="1" fillId="0" fontId="1" numFmtId="0" xfId="0" applyBorder="1" applyFont="1"/>
    <xf borderId="1" fillId="0" fontId="2" numFmtId="0" xfId="0" applyAlignment="1" applyBorder="1" applyFont="1">
      <alignment horizontal="center" readingOrder="0" vertical="center"/>
    </xf>
    <xf borderId="1" fillId="3" fontId="2" numFmtId="0" xfId="0" applyAlignment="1" applyBorder="1" applyFill="1" applyFont="1">
      <alignment readingOrder="0"/>
    </xf>
    <xf borderId="1" fillId="3" fontId="2" numFmtId="0" xfId="0" applyAlignment="1" applyBorder="1" applyFont="1">
      <alignment horizontal="center" readingOrder="0" vertical="center"/>
    </xf>
    <xf borderId="1" fillId="3" fontId="2" numFmtId="0" xfId="0" applyAlignment="1" applyBorder="1" applyFont="1">
      <alignment horizontal="right" readingOrder="0"/>
    </xf>
    <xf borderId="1" fillId="3" fontId="1" numFmtId="0" xfId="0" applyBorder="1" applyFont="1"/>
    <xf borderId="1" fillId="4" fontId="3" numFmtId="0" xfId="0" applyAlignment="1" applyBorder="1" applyFill="1" applyFont="1">
      <alignment readingOrder="0"/>
    </xf>
    <xf borderId="1" fillId="4" fontId="3" numFmtId="0" xfId="0" applyAlignment="1" applyBorder="1" applyFont="1">
      <alignment horizontal="center" readingOrder="0" vertical="center"/>
    </xf>
    <xf borderId="1" fillId="4" fontId="3" numFmtId="0" xfId="0" applyAlignment="1" applyBorder="1" applyFont="1">
      <alignment horizontal="right" readingOrder="0"/>
    </xf>
    <xf borderId="1" fillId="4" fontId="4" numFmtId="0" xfId="0" applyBorder="1" applyFont="1"/>
    <xf borderId="1" fillId="4" fontId="2" numFmtId="0" xfId="0" applyAlignment="1" applyBorder="1" applyFont="1">
      <alignment horizontal="center" vertical="center"/>
    </xf>
    <xf borderId="1" fillId="4" fontId="1" numFmtId="0" xfId="0" applyBorder="1" applyFont="1"/>
    <xf borderId="1" fillId="0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40.43"/>
    <col customWidth="1" min="2" max="2" width="23.86"/>
    <col customWidth="1" min="3" max="3" width="81.43"/>
    <col customWidth="1" min="4" max="4" width="20.86"/>
    <col customWidth="1" min="5" max="5" width="21.29"/>
    <col customWidth="1" min="6" max="6" width="19.57"/>
    <col customWidth="1" min="7" max="7" width="21.29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>
      <c r="A2" s="3" t="s">
        <v>7</v>
      </c>
      <c r="B2" s="4" t="s">
        <v>8</v>
      </c>
      <c r="C2" s="3" t="s">
        <v>9</v>
      </c>
      <c r="D2" s="5">
        <v>10.0</v>
      </c>
      <c r="E2" s="6">
        <f t="shared" ref="E2:E38" si="1">D2*8</f>
        <v>80</v>
      </c>
      <c r="F2" s="7" t="s">
        <v>10</v>
      </c>
      <c r="G2" s="6">
        <f t="shared" ref="G2:G38" si="2">IF(F2 = "Y", 64, E2)</f>
        <v>80</v>
      </c>
    </row>
    <row r="3">
      <c r="A3" s="3" t="s">
        <v>11</v>
      </c>
      <c r="B3" s="4" t="s">
        <v>8</v>
      </c>
      <c r="C3" s="3" t="s">
        <v>12</v>
      </c>
      <c r="D3" s="5">
        <v>10.0</v>
      </c>
      <c r="E3" s="6">
        <f t="shared" si="1"/>
        <v>80</v>
      </c>
      <c r="F3" s="7" t="s">
        <v>10</v>
      </c>
      <c r="G3" s="6">
        <f t="shared" si="2"/>
        <v>80</v>
      </c>
    </row>
    <row r="4">
      <c r="A4" s="3" t="s">
        <v>13</v>
      </c>
      <c r="B4" s="4" t="s">
        <v>8</v>
      </c>
      <c r="C4" s="3" t="s">
        <v>14</v>
      </c>
      <c r="D4" s="5">
        <v>10.0</v>
      </c>
      <c r="E4" s="6">
        <f t="shared" si="1"/>
        <v>80</v>
      </c>
      <c r="F4" s="7" t="s">
        <v>10</v>
      </c>
      <c r="G4" s="6">
        <f t="shared" si="2"/>
        <v>80</v>
      </c>
    </row>
    <row r="5">
      <c r="A5" s="8" t="s">
        <v>15</v>
      </c>
      <c r="B5" s="9" t="s">
        <v>8</v>
      </c>
      <c r="C5" s="8" t="s">
        <v>16</v>
      </c>
      <c r="D5" s="10">
        <v>20.0</v>
      </c>
      <c r="E5" s="11">
        <f t="shared" si="1"/>
        <v>160</v>
      </c>
      <c r="F5" s="9" t="s">
        <v>17</v>
      </c>
      <c r="G5" s="11">
        <f t="shared" si="2"/>
        <v>64</v>
      </c>
    </row>
    <row r="6">
      <c r="A6" s="8" t="s">
        <v>18</v>
      </c>
      <c r="B6" s="9" t="s">
        <v>8</v>
      </c>
      <c r="C6" s="8" t="s">
        <v>19</v>
      </c>
      <c r="D6" s="10">
        <v>16.0</v>
      </c>
      <c r="E6" s="11">
        <f t="shared" si="1"/>
        <v>128</v>
      </c>
      <c r="F6" s="9" t="s">
        <v>17</v>
      </c>
      <c r="G6" s="11">
        <f t="shared" si="2"/>
        <v>64</v>
      </c>
    </row>
    <row r="7">
      <c r="A7" s="3" t="s">
        <v>20</v>
      </c>
      <c r="B7" s="4" t="s">
        <v>8</v>
      </c>
      <c r="C7" s="3" t="s">
        <v>21</v>
      </c>
      <c r="D7" s="5">
        <v>10.0</v>
      </c>
      <c r="E7" s="6">
        <f t="shared" si="1"/>
        <v>80</v>
      </c>
      <c r="F7" s="7" t="s">
        <v>10</v>
      </c>
      <c r="G7" s="6">
        <f t="shared" si="2"/>
        <v>80</v>
      </c>
    </row>
    <row r="8">
      <c r="A8" s="3" t="s">
        <v>22</v>
      </c>
      <c r="B8" s="4" t="s">
        <v>8</v>
      </c>
      <c r="C8" s="3" t="s">
        <v>23</v>
      </c>
      <c r="D8" s="5">
        <v>10.0</v>
      </c>
      <c r="E8" s="6">
        <f t="shared" si="1"/>
        <v>80</v>
      </c>
      <c r="F8" s="7" t="s">
        <v>10</v>
      </c>
      <c r="G8" s="6">
        <f t="shared" si="2"/>
        <v>80</v>
      </c>
    </row>
    <row r="9">
      <c r="A9" s="3" t="s">
        <v>24</v>
      </c>
      <c r="B9" s="4" t="s">
        <v>8</v>
      </c>
      <c r="C9" s="3" t="s">
        <v>25</v>
      </c>
      <c r="D9" s="5">
        <v>1.0</v>
      </c>
      <c r="E9" s="6">
        <f t="shared" si="1"/>
        <v>8</v>
      </c>
      <c r="F9" s="7" t="s">
        <v>10</v>
      </c>
      <c r="G9" s="6">
        <f t="shared" si="2"/>
        <v>8</v>
      </c>
    </row>
    <row r="10">
      <c r="A10" s="3" t="s">
        <v>26</v>
      </c>
      <c r="B10" s="4" t="s">
        <v>8</v>
      </c>
      <c r="C10" s="3" t="s">
        <v>27</v>
      </c>
      <c r="D10" s="5">
        <v>20.0</v>
      </c>
      <c r="E10" s="6">
        <f t="shared" si="1"/>
        <v>160</v>
      </c>
      <c r="F10" s="7" t="s">
        <v>10</v>
      </c>
      <c r="G10" s="6">
        <f t="shared" si="2"/>
        <v>160</v>
      </c>
    </row>
    <row r="11">
      <c r="A11" s="3" t="s">
        <v>28</v>
      </c>
      <c r="B11" s="4" t="s">
        <v>8</v>
      </c>
      <c r="C11" s="3" t="s">
        <v>29</v>
      </c>
      <c r="D11" s="5">
        <v>5.0</v>
      </c>
      <c r="E11" s="6">
        <f t="shared" si="1"/>
        <v>40</v>
      </c>
      <c r="F11" s="7" t="s">
        <v>10</v>
      </c>
      <c r="G11" s="6">
        <f t="shared" si="2"/>
        <v>40</v>
      </c>
    </row>
    <row r="12">
      <c r="A12" s="3" t="s">
        <v>30</v>
      </c>
      <c r="B12" s="4" t="s">
        <v>8</v>
      </c>
      <c r="C12" s="3" t="s">
        <v>31</v>
      </c>
      <c r="D12" s="5">
        <v>10.0</v>
      </c>
      <c r="E12" s="6">
        <f t="shared" si="1"/>
        <v>80</v>
      </c>
      <c r="F12" s="7" t="s">
        <v>10</v>
      </c>
      <c r="G12" s="6">
        <f t="shared" si="2"/>
        <v>80</v>
      </c>
    </row>
    <row r="13">
      <c r="A13" s="3" t="s">
        <v>32</v>
      </c>
      <c r="B13" s="4" t="s">
        <v>8</v>
      </c>
      <c r="C13" s="3" t="s">
        <v>33</v>
      </c>
      <c r="D13" s="5">
        <v>10.0</v>
      </c>
      <c r="E13" s="6">
        <f t="shared" si="1"/>
        <v>80</v>
      </c>
      <c r="F13" s="7" t="s">
        <v>10</v>
      </c>
      <c r="G13" s="6">
        <f t="shared" si="2"/>
        <v>80</v>
      </c>
    </row>
    <row r="14">
      <c r="A14" s="3" t="s">
        <v>34</v>
      </c>
      <c r="B14" s="4" t="s">
        <v>8</v>
      </c>
      <c r="C14" s="3" t="s">
        <v>35</v>
      </c>
      <c r="D14" s="5">
        <v>20.0</v>
      </c>
      <c r="E14" s="6">
        <f t="shared" si="1"/>
        <v>160</v>
      </c>
      <c r="F14" s="7" t="s">
        <v>10</v>
      </c>
      <c r="G14" s="6">
        <f t="shared" si="2"/>
        <v>160</v>
      </c>
    </row>
    <row r="15">
      <c r="A15" s="3" t="s">
        <v>36</v>
      </c>
      <c r="B15" s="4" t="s">
        <v>8</v>
      </c>
      <c r="C15" s="3" t="s">
        <v>37</v>
      </c>
      <c r="D15" s="5">
        <v>5.0</v>
      </c>
      <c r="E15" s="6">
        <f t="shared" si="1"/>
        <v>40</v>
      </c>
      <c r="F15" s="7" t="s">
        <v>10</v>
      </c>
      <c r="G15" s="6">
        <f t="shared" si="2"/>
        <v>40</v>
      </c>
    </row>
    <row r="16">
      <c r="A16" s="8" t="s">
        <v>38</v>
      </c>
      <c r="B16" s="9" t="s">
        <v>8</v>
      </c>
      <c r="C16" s="8" t="s">
        <v>39</v>
      </c>
      <c r="D16" s="10">
        <v>50.0</v>
      </c>
      <c r="E16" s="11">
        <f t="shared" si="1"/>
        <v>400</v>
      </c>
      <c r="F16" s="9" t="s">
        <v>17</v>
      </c>
      <c r="G16" s="11">
        <f t="shared" si="2"/>
        <v>64</v>
      </c>
    </row>
    <row r="17">
      <c r="A17" s="3" t="s">
        <v>40</v>
      </c>
      <c r="B17" s="4" t="s">
        <v>8</v>
      </c>
      <c r="C17" s="3" t="s">
        <v>41</v>
      </c>
      <c r="D17" s="5">
        <v>5.0</v>
      </c>
      <c r="E17" s="6">
        <f t="shared" si="1"/>
        <v>40</v>
      </c>
      <c r="F17" s="7" t="s">
        <v>10</v>
      </c>
      <c r="G17" s="6">
        <f t="shared" si="2"/>
        <v>40</v>
      </c>
    </row>
    <row r="18">
      <c r="A18" s="3" t="s">
        <v>42</v>
      </c>
      <c r="B18" s="4" t="s">
        <v>8</v>
      </c>
      <c r="C18" s="3" t="s">
        <v>43</v>
      </c>
      <c r="D18" s="5">
        <v>5.0</v>
      </c>
      <c r="E18" s="6">
        <f t="shared" si="1"/>
        <v>40</v>
      </c>
      <c r="F18" s="7" t="s">
        <v>10</v>
      </c>
      <c r="G18" s="6">
        <f t="shared" si="2"/>
        <v>40</v>
      </c>
    </row>
    <row r="19">
      <c r="A19" s="3" t="s">
        <v>44</v>
      </c>
      <c r="B19" s="4" t="s">
        <v>8</v>
      </c>
      <c r="C19" s="3" t="s">
        <v>45</v>
      </c>
      <c r="D19" s="5">
        <v>20.0</v>
      </c>
      <c r="E19" s="6">
        <f t="shared" si="1"/>
        <v>160</v>
      </c>
      <c r="F19" s="7" t="s">
        <v>10</v>
      </c>
      <c r="G19" s="6">
        <f t="shared" si="2"/>
        <v>160</v>
      </c>
    </row>
    <row r="20">
      <c r="A20" s="12" t="s">
        <v>46</v>
      </c>
      <c r="B20" s="13" t="s">
        <v>8</v>
      </c>
      <c r="C20" s="12" t="s">
        <v>47</v>
      </c>
      <c r="D20" s="14">
        <v>400.0</v>
      </c>
      <c r="E20" s="15">
        <f t="shared" si="1"/>
        <v>3200</v>
      </c>
      <c r="F20" s="16" t="s">
        <v>10</v>
      </c>
      <c r="G20" s="17">
        <f t="shared" si="2"/>
        <v>3200</v>
      </c>
    </row>
    <row r="21">
      <c r="A21" s="3" t="s">
        <v>48</v>
      </c>
      <c r="B21" s="4" t="s">
        <v>8</v>
      </c>
      <c r="C21" s="3" t="s">
        <v>49</v>
      </c>
      <c r="D21" s="5">
        <v>10.0</v>
      </c>
      <c r="E21" s="6">
        <f t="shared" si="1"/>
        <v>80</v>
      </c>
      <c r="F21" s="7" t="s">
        <v>10</v>
      </c>
      <c r="G21" s="6">
        <f t="shared" si="2"/>
        <v>80</v>
      </c>
    </row>
    <row r="22">
      <c r="A22" s="3" t="s">
        <v>50</v>
      </c>
      <c r="B22" s="4" t="s">
        <v>8</v>
      </c>
      <c r="C22" s="3" t="s">
        <v>51</v>
      </c>
      <c r="D22" s="5">
        <v>1.0</v>
      </c>
      <c r="E22" s="6">
        <f t="shared" si="1"/>
        <v>8</v>
      </c>
      <c r="F22" s="7" t="s">
        <v>10</v>
      </c>
      <c r="G22" s="6">
        <f t="shared" si="2"/>
        <v>8</v>
      </c>
    </row>
    <row r="23">
      <c r="A23" s="3" t="s">
        <v>52</v>
      </c>
      <c r="B23" s="4" t="s">
        <v>8</v>
      </c>
      <c r="C23" s="3" t="s">
        <v>53</v>
      </c>
      <c r="D23" s="5">
        <v>2.0</v>
      </c>
      <c r="E23" s="6">
        <f t="shared" si="1"/>
        <v>16</v>
      </c>
      <c r="F23" s="7" t="s">
        <v>10</v>
      </c>
      <c r="G23" s="6">
        <f t="shared" si="2"/>
        <v>16</v>
      </c>
    </row>
    <row r="24">
      <c r="A24" s="3" t="s">
        <v>54</v>
      </c>
      <c r="B24" s="4" t="s">
        <v>8</v>
      </c>
      <c r="C24" s="3" t="s">
        <v>55</v>
      </c>
      <c r="D24" s="5">
        <v>1.0</v>
      </c>
      <c r="E24" s="6">
        <f t="shared" si="1"/>
        <v>8</v>
      </c>
      <c r="F24" s="7" t="s">
        <v>10</v>
      </c>
      <c r="G24" s="6">
        <f t="shared" si="2"/>
        <v>8</v>
      </c>
    </row>
    <row r="25">
      <c r="A25" s="3" t="s">
        <v>56</v>
      </c>
      <c r="B25" s="4" t="s">
        <v>8</v>
      </c>
      <c r="C25" s="3" t="s">
        <v>57</v>
      </c>
      <c r="D25" s="5">
        <v>1.0</v>
      </c>
      <c r="E25" s="6">
        <f t="shared" si="1"/>
        <v>8</v>
      </c>
      <c r="F25" s="7" t="s">
        <v>10</v>
      </c>
      <c r="G25" s="6">
        <f t="shared" si="2"/>
        <v>8</v>
      </c>
    </row>
    <row r="26">
      <c r="A26" s="3" t="s">
        <v>58</v>
      </c>
      <c r="B26" s="4" t="s">
        <v>8</v>
      </c>
      <c r="C26" s="3" t="s">
        <v>59</v>
      </c>
      <c r="D26" s="5">
        <v>1.0</v>
      </c>
      <c r="E26" s="6">
        <f t="shared" si="1"/>
        <v>8</v>
      </c>
      <c r="F26" s="7" t="s">
        <v>10</v>
      </c>
      <c r="G26" s="6">
        <f t="shared" si="2"/>
        <v>8</v>
      </c>
    </row>
    <row r="27">
      <c r="A27" s="3" t="s">
        <v>60</v>
      </c>
      <c r="B27" s="4" t="s">
        <v>8</v>
      </c>
      <c r="C27" s="3" t="s">
        <v>61</v>
      </c>
      <c r="D27" s="5">
        <v>10.0</v>
      </c>
      <c r="E27" s="6">
        <f t="shared" si="1"/>
        <v>80</v>
      </c>
      <c r="F27" s="7" t="s">
        <v>10</v>
      </c>
      <c r="G27" s="6">
        <f t="shared" si="2"/>
        <v>80</v>
      </c>
    </row>
    <row r="28">
      <c r="A28" s="3" t="s">
        <v>62</v>
      </c>
      <c r="B28" s="4" t="s">
        <v>8</v>
      </c>
      <c r="C28" s="18" t="s">
        <v>63</v>
      </c>
      <c r="D28" s="5">
        <v>1.0</v>
      </c>
      <c r="E28" s="6">
        <f t="shared" si="1"/>
        <v>8</v>
      </c>
      <c r="F28" s="7" t="s">
        <v>10</v>
      </c>
      <c r="G28" s="6">
        <f t="shared" si="2"/>
        <v>8</v>
      </c>
    </row>
    <row r="29">
      <c r="A29" s="18" t="s">
        <v>64</v>
      </c>
      <c r="B29" s="4" t="s">
        <v>8</v>
      </c>
      <c r="C29" s="18" t="s">
        <v>65</v>
      </c>
      <c r="D29" s="5">
        <v>1.0</v>
      </c>
      <c r="E29" s="6">
        <f t="shared" si="1"/>
        <v>8</v>
      </c>
      <c r="F29" s="7" t="s">
        <v>10</v>
      </c>
      <c r="G29" s="6">
        <f t="shared" si="2"/>
        <v>8</v>
      </c>
    </row>
    <row r="30">
      <c r="A30" s="3" t="s">
        <v>66</v>
      </c>
      <c r="B30" s="4" t="s">
        <v>8</v>
      </c>
      <c r="C30" s="18" t="s">
        <v>67</v>
      </c>
      <c r="D30" s="5">
        <v>1.0</v>
      </c>
      <c r="E30" s="6">
        <f t="shared" si="1"/>
        <v>8</v>
      </c>
      <c r="F30" s="7" t="s">
        <v>10</v>
      </c>
      <c r="G30" s="6">
        <f t="shared" si="2"/>
        <v>8</v>
      </c>
    </row>
    <row r="31">
      <c r="A31" s="3" t="s">
        <v>68</v>
      </c>
      <c r="B31" s="4" t="s">
        <v>8</v>
      </c>
      <c r="C31" s="18" t="s">
        <v>69</v>
      </c>
      <c r="D31" s="5">
        <v>20.0</v>
      </c>
      <c r="E31" s="6">
        <f t="shared" si="1"/>
        <v>160</v>
      </c>
      <c r="F31" s="7" t="s">
        <v>10</v>
      </c>
      <c r="G31" s="6">
        <f t="shared" si="2"/>
        <v>160</v>
      </c>
    </row>
    <row r="32">
      <c r="A32" s="3" t="s">
        <v>70</v>
      </c>
      <c r="B32" s="4" t="s">
        <v>8</v>
      </c>
      <c r="C32" s="18" t="s">
        <v>71</v>
      </c>
      <c r="D32" s="5">
        <v>10.0</v>
      </c>
      <c r="E32" s="6">
        <f t="shared" si="1"/>
        <v>80</v>
      </c>
      <c r="F32" s="7" t="s">
        <v>10</v>
      </c>
      <c r="G32" s="6">
        <f t="shared" si="2"/>
        <v>80</v>
      </c>
    </row>
    <row r="33">
      <c r="A33" s="3" t="s">
        <v>72</v>
      </c>
      <c r="B33" s="4" t="s">
        <v>8</v>
      </c>
      <c r="C33" s="18" t="s">
        <v>73</v>
      </c>
      <c r="D33" s="5">
        <v>1.0</v>
      </c>
      <c r="E33" s="6">
        <f t="shared" si="1"/>
        <v>8</v>
      </c>
      <c r="F33" s="7" t="s">
        <v>10</v>
      </c>
      <c r="G33" s="6">
        <f t="shared" si="2"/>
        <v>8</v>
      </c>
    </row>
    <row r="34">
      <c r="A34" s="3" t="s">
        <v>74</v>
      </c>
      <c r="B34" s="4" t="s">
        <v>8</v>
      </c>
      <c r="C34" s="18" t="s">
        <v>73</v>
      </c>
      <c r="D34" s="5">
        <v>1.0</v>
      </c>
      <c r="E34" s="6">
        <f t="shared" si="1"/>
        <v>8</v>
      </c>
      <c r="F34" s="7" t="s">
        <v>10</v>
      </c>
      <c r="G34" s="6">
        <f t="shared" si="2"/>
        <v>8</v>
      </c>
    </row>
    <row r="35">
      <c r="A35" s="3" t="s">
        <v>75</v>
      </c>
      <c r="B35" s="4" t="s">
        <v>8</v>
      </c>
      <c r="C35" s="18" t="s">
        <v>76</v>
      </c>
      <c r="D35" s="5">
        <v>1.0</v>
      </c>
      <c r="E35" s="6">
        <f t="shared" si="1"/>
        <v>8</v>
      </c>
      <c r="F35" s="7" t="s">
        <v>10</v>
      </c>
      <c r="G35" s="6">
        <f t="shared" si="2"/>
        <v>8</v>
      </c>
    </row>
    <row r="36">
      <c r="A36" s="3" t="s">
        <v>77</v>
      </c>
      <c r="B36" s="4" t="s">
        <v>8</v>
      </c>
      <c r="C36" s="18" t="s">
        <v>78</v>
      </c>
      <c r="D36" s="5">
        <v>1.0</v>
      </c>
      <c r="E36" s="6">
        <f t="shared" si="1"/>
        <v>8</v>
      </c>
      <c r="F36" s="7" t="s">
        <v>10</v>
      </c>
      <c r="G36" s="6">
        <f t="shared" si="2"/>
        <v>8</v>
      </c>
    </row>
    <row r="37">
      <c r="A37" s="3" t="s">
        <v>79</v>
      </c>
      <c r="B37" s="4" t="s">
        <v>8</v>
      </c>
      <c r="C37" s="18" t="s">
        <v>80</v>
      </c>
      <c r="D37" s="5">
        <v>1.0</v>
      </c>
      <c r="E37" s="6">
        <f t="shared" si="1"/>
        <v>8</v>
      </c>
      <c r="F37" s="7" t="s">
        <v>10</v>
      </c>
      <c r="G37" s="6">
        <f t="shared" si="2"/>
        <v>8</v>
      </c>
    </row>
    <row r="38">
      <c r="A38" s="3" t="s">
        <v>81</v>
      </c>
      <c r="B38" s="4" t="s">
        <v>8</v>
      </c>
      <c r="C38" s="18" t="s">
        <v>82</v>
      </c>
      <c r="D38" s="5">
        <v>10.0</v>
      </c>
      <c r="E38" s="6">
        <f t="shared" si="1"/>
        <v>80</v>
      </c>
      <c r="F38" s="7" t="s">
        <v>10</v>
      </c>
      <c r="G38" s="6">
        <f t="shared" si="2"/>
        <v>80</v>
      </c>
    </row>
  </sheetData>
  <drawing r:id="rId1"/>
</worksheet>
</file>